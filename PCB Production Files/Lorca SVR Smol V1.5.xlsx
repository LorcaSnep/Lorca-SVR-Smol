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rca\Desktop\"/>
    </mc:Choice>
  </mc:AlternateContent>
  <xr:revisionPtr revIDLastSave="0" documentId="13_ncr:1_{2D6B3355-93E5-4F44-A4F9-CD1BD89837BA}" xr6:coauthVersionLast="47" xr6:coauthVersionMax="47" xr10:uidLastSave="{00000000-0000-0000-0000-000000000000}"/>
  <bookViews>
    <workbookView xWindow="-110" yWindow="-110" windowWidth="19420" windowHeight="1042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</calcChain>
</file>

<file path=xl/sharedStrings.xml><?xml version="1.0" encoding="utf-8"?>
<sst xmlns="http://schemas.openxmlformats.org/spreadsheetml/2006/main" count="82" uniqueCount="73">
  <si>
    <t>3V3</t>
  </si>
  <si>
    <t>BQ24075RGTR</t>
  </si>
  <si>
    <t>BAT_CHRG</t>
  </si>
  <si>
    <t>10uF 0402</t>
  </si>
  <si>
    <t>100nF 0402</t>
  </si>
  <si>
    <t>10K Ohm 5% 0402</t>
  </si>
  <si>
    <t>R13</t>
  </si>
  <si>
    <t>USB_PR</t>
  </si>
  <si>
    <t>Component</t>
  </si>
  <si>
    <t>Quantity</t>
  </si>
  <si>
    <t>Designator</t>
  </si>
  <si>
    <t>Manufacturer Part Number</t>
  </si>
  <si>
    <t>Digikey Part Number</t>
  </si>
  <si>
    <t>BAT</t>
  </si>
  <si>
    <t>ASMB-LTB2-0A333</t>
  </si>
  <si>
    <t>CHRG_LED</t>
  </si>
  <si>
    <t>Feeder Reel Size (mm)</t>
  </si>
  <si>
    <t>Total</t>
  </si>
  <si>
    <t>Reel Width (mm)</t>
  </si>
  <si>
    <t>ISP1807</t>
  </si>
  <si>
    <t>U1</t>
  </si>
  <si>
    <t>LSM6DSVTR</t>
  </si>
  <si>
    <t>IMU</t>
  </si>
  <si>
    <t>ADP2108ACBZ-3.3-R7</t>
  </si>
  <si>
    <t>ESDR0502NMUTBG</t>
  </si>
  <si>
    <t>B3U-1000P</t>
  </si>
  <si>
    <t>SW0</t>
  </si>
  <si>
    <t>MAG</t>
  </si>
  <si>
    <t>150040BS73240</t>
  </si>
  <si>
    <t>STATUS_LED</t>
  </si>
  <si>
    <t>1N5819W</t>
  </si>
  <si>
    <t>D1</t>
  </si>
  <si>
    <t>LQM21PN1R0MC0D</t>
  </si>
  <si>
    <t>L2</t>
  </si>
  <si>
    <t>C6, C8</t>
  </si>
  <si>
    <t>4.7uF 0402</t>
  </si>
  <si>
    <t>C1, C2, C10</t>
  </si>
  <si>
    <t>C5, C7, C9, C11</t>
  </si>
  <si>
    <t>1K Ohm 5% 0402</t>
  </si>
  <si>
    <t>R3, R4, R5, R6, R7, R11, R16, R17</t>
  </si>
  <si>
    <t>100K Ohm 5% 0402</t>
  </si>
  <si>
    <t>R10, R12</t>
  </si>
  <si>
    <t>180K Ohm 5% 0402</t>
  </si>
  <si>
    <t>R9</t>
  </si>
  <si>
    <t>1786-1019-1-ND</t>
  </si>
  <si>
    <t>ISP1807-LR-RS</t>
  </si>
  <si>
    <t>497-LSM6DSVTRCT-ND</t>
  </si>
  <si>
    <t>ADP2108ACBZ-3.3-R7CT-ND</t>
  </si>
  <si>
    <t>ESDR0502NMUTBGOSCT-ND</t>
  </si>
  <si>
    <t>SW1020CT-ND</t>
  </si>
  <si>
    <t>516-4289-1-ND</t>
  </si>
  <si>
    <t>732-11989-1-ND</t>
  </si>
  <si>
    <t>WM4459CT-ND</t>
  </si>
  <si>
    <t>490-4992-1-ND</t>
  </si>
  <si>
    <t>1655-1N5819WCT-ND</t>
  </si>
  <si>
    <t>296-38874-1-ND</t>
  </si>
  <si>
    <t>RK73H1ETTP1002D</t>
  </si>
  <si>
    <t>2019-RK73H1ETTP1002DCT-ND</t>
  </si>
  <si>
    <t>GRT155R71C104KE01D</t>
  </si>
  <si>
    <t>490-GRT155R71C104KE01DCT-ND</t>
  </si>
  <si>
    <t>GRT155R61A106ME13J</t>
  </si>
  <si>
    <t>490-GRT155R61A106ME13JCT-ND</t>
  </si>
  <si>
    <t>IST8306</t>
  </si>
  <si>
    <t>iST8306</t>
  </si>
  <si>
    <t>5750-iST8306TR-ND</t>
  </si>
  <si>
    <t>490-GRT155R61A475ME13DCT-ND</t>
  </si>
  <si>
    <t>GRT155R61A475ME13D</t>
  </si>
  <si>
    <t>RK73H1ETTP1803F</t>
  </si>
  <si>
    <t>2019-RK73H1ETTP1803FCT-ND</t>
  </si>
  <si>
    <t>RK73H1ETTP1003F</t>
  </si>
  <si>
    <t>2019-RK73H1ETTP1003FCT-ND</t>
  </si>
  <si>
    <t>RK73H1ETTP1001F</t>
  </si>
  <si>
    <t>2019-RK73H1ETTP1001FCT-ND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</si>
</sst>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I20"/>
  <sheetViews>
    <sheetView tabSelected="1" topLeftCell="C1" workbookViewId="0">
      <selection activeCell="I10" sqref="I10"/>
    </sheetView>
  </sheetViews>
  <sheetFormatPr defaultRowHeight="14.5" x14ac:dyDescent="0.35"/>
  <cols>
    <col min="1" max="1" width="25.1796875" customWidth="1"/>
    <col min="2" max="2" width="24.81640625" customWidth="1"/>
    <col min="3" max="3" width="34.26953125" customWidth="1"/>
    <col min="4" max="4" width="42.1796875" customWidth="1"/>
    <col min="5" max="5" width="9.26953125" customWidth="1"/>
    <col min="6" max="6" width="20.26953125" customWidth="1"/>
    <col min="8" max="8" width="15.7265625" customWidth="1"/>
  </cols>
  <sheetData>
    <row r="1" spans="1:9" x14ac:dyDescent="0.35">
      <c r="A1" s="2" t="s">
        <v>8</v>
      </c>
      <c r="B1" s="2" t="s">
        <v>11</v>
      </c>
      <c r="C1" s="2" t="s">
        <v>12</v>
      </c>
      <c r="D1" s="2" t="s">
        <v>10</v>
      </c>
      <c r="E1" s="2" t="s">
        <v>9</v>
      </c>
      <c r="F1" s="4" t="s">
        <v>16</v>
      </c>
      <c r="G1" s="3"/>
    </row>
    <row r="2" spans="1:9" x14ac:dyDescent="0.35">
      <c r="A2" s="1" t="s">
        <v>19</v>
      </c>
      <c r="B2" s="1" t="s">
        <v>45</v>
      </c>
      <c r="C2" s="1" t="s">
        <v>44</v>
      </c>
      <c r="D2" s="1" t="s">
        <v>20</v>
      </c>
      <c r="E2" s="1">
        <v>1</v>
      </c>
      <c r="F2" s="1">
        <v>16</v>
      </c>
      <c r="G2" s="3"/>
    </row>
    <row r="3" spans="1:9" x14ac:dyDescent="0.35">
      <c r="A3" s="1" t="s">
        <v>21</v>
      </c>
      <c r="B3" s="1" t="s">
        <v>21</v>
      </c>
      <c r="C3" s="1" t="s">
        <v>46</v>
      </c>
      <c r="D3" s="1" t="s">
        <v>22</v>
      </c>
      <c r="E3" s="1">
        <v>1</v>
      </c>
      <c r="F3" s="1">
        <v>12</v>
      </c>
      <c r="G3" s="3"/>
      <c r="H3" s="2" t="s">
        <v>18</v>
      </c>
      <c r="I3" s="2" t="s">
        <v>17</v>
      </c>
    </row>
    <row r="4" spans="1:9" x14ac:dyDescent="0.35">
      <c r="A4" s="1" t="s">
        <v>62</v>
      </c>
      <c r="B4" s="1" t="s">
        <v>63</v>
      </c>
      <c r="C4" s="1" t="s">
        <v>64</v>
      </c>
      <c r="D4" s="1" t="s">
        <v>27</v>
      </c>
      <c r="E4" s="1">
        <v>1</v>
      </c>
      <c r="F4" s="1">
        <v>8</v>
      </c>
      <c r="G4" s="3"/>
      <c r="H4" s="1">
        <v>8</v>
      </c>
      <c r="I4" s="1">
        <f>COUNTIF(F2:F20, 8)</f>
        <v>15</v>
      </c>
    </row>
    <row r="5" spans="1:9" x14ac:dyDescent="0.35">
      <c r="A5" s="1" t="s">
        <v>1</v>
      </c>
      <c r="B5" s="1" t="s">
        <v>1</v>
      </c>
      <c r="C5" s="1" t="s">
        <v>55</v>
      </c>
      <c r="D5" s="1" t="s">
        <v>2</v>
      </c>
      <c r="E5" s="1">
        <v>1</v>
      </c>
      <c r="F5" s="1">
        <v>12</v>
      </c>
      <c r="G5" s="3"/>
      <c r="H5" s="1">
        <v>12</v>
      </c>
      <c r="I5" s="1">
        <f>COUNTIF(F2:F20, 12)</f>
        <v>2</v>
      </c>
    </row>
    <row r="6" spans="1:9" x14ac:dyDescent="0.35">
      <c r="A6" s="1" t="s">
        <v>23</v>
      </c>
      <c r="B6" s="1" t="s">
        <v>23</v>
      </c>
      <c r="C6" s="1" t="s">
        <v>47</v>
      </c>
      <c r="D6" s="1" t="s">
        <v>0</v>
      </c>
      <c r="E6" s="1">
        <v>1</v>
      </c>
      <c r="F6" s="1">
        <v>8</v>
      </c>
      <c r="G6" s="3"/>
      <c r="H6" s="1">
        <v>16</v>
      </c>
      <c r="I6" s="1">
        <f>COUNTIF(F2:F20, 16)</f>
        <v>2</v>
      </c>
    </row>
    <row r="7" spans="1:9" x14ac:dyDescent="0.35">
      <c r="A7" s="1" t="s">
        <v>24</v>
      </c>
      <c r="B7" s="1" t="s">
        <v>24</v>
      </c>
      <c r="C7" s="1" t="s">
        <v>48</v>
      </c>
      <c r="D7" s="1" t="s">
        <v>7</v>
      </c>
      <c r="E7" s="1">
        <v>1</v>
      </c>
      <c r="F7" s="1">
        <v>8</v>
      </c>
      <c r="G7" s="3"/>
    </row>
    <row r="8" spans="1:9" x14ac:dyDescent="0.35">
      <c r="A8" s="1" t="s">
        <v>25</v>
      </c>
      <c r="B8" s="1" t="s">
        <v>25</v>
      </c>
      <c r="C8" s="1" t="s">
        <v>49</v>
      </c>
      <c r="D8" s="1" t="s">
        <v>26</v>
      </c>
      <c r="E8" s="1">
        <v>1</v>
      </c>
      <c r="F8" s="1">
        <v>8</v>
      </c>
      <c r="G8" s="3"/>
    </row>
    <row r="9" spans="1:9" x14ac:dyDescent="0.35">
      <c r="A9" s="1" t="s">
        <v>14</v>
      </c>
      <c r="B9" s="1" t="s">
        <v>14</v>
      </c>
      <c r="C9" s="1" t="s">
        <v>50</v>
      </c>
      <c r="D9" s="1" t="s">
        <v>15</v>
      </c>
      <c r="E9" s="1">
        <v>1</v>
      </c>
      <c r="F9" s="1">
        <v>8</v>
      </c>
      <c r="G9" s="3"/>
    </row>
    <row r="10" spans="1:9" x14ac:dyDescent="0.35">
      <c r="A10" s="1" t="s">
        <v>28</v>
      </c>
      <c r="B10" s="1" t="s">
        <v>28</v>
      </c>
      <c r="C10" s="1" t="s">
        <v>51</v>
      </c>
      <c r="D10" s="1" t="s">
        <v>29</v>
      </c>
      <c r="E10" s="1">
        <v>1</v>
      </c>
      <c r="F10" s="1">
        <v>8</v>
      </c>
      <c r="G10" s="3"/>
    </row>
    <row r="11" spans="1:9" x14ac:dyDescent="0.35">
      <c r="A11" s="1">
        <v>781710002</v>
      </c>
      <c r="B11" s="1">
        <v>781710002</v>
      </c>
      <c r="C11" s="1" t="s">
        <v>52</v>
      </c>
      <c r="D11" s="1" t="s">
        <v>13</v>
      </c>
      <c r="E11" s="1">
        <v>1</v>
      </c>
      <c r="F11" s="1">
        <v>16</v>
      </c>
      <c r="G11" s="3"/>
    </row>
    <row r="12" spans="1:9" x14ac:dyDescent="0.35">
      <c r="A12" s="1" t="s">
        <v>30</v>
      </c>
      <c r="B12" s="1" t="s">
        <v>30</v>
      </c>
      <c r="C12" s="1" t="s">
        <v>54</v>
      </c>
      <c r="D12" s="1" t="s">
        <v>31</v>
      </c>
      <c r="E12" s="1">
        <v>1</v>
      </c>
      <c r="F12" s="1">
        <v>8</v>
      </c>
      <c r="G12" s="3"/>
    </row>
    <row r="13" spans="1:9" x14ac:dyDescent="0.35">
      <c r="A13" s="1" t="s">
        <v>32</v>
      </c>
      <c r="B13" s="1" t="s">
        <v>32</v>
      </c>
      <c r="C13" s="1" t="s">
        <v>53</v>
      </c>
      <c r="D13" s="1" t="s">
        <v>33</v>
      </c>
      <c r="E13" s="1">
        <v>1</v>
      </c>
      <c r="F13" s="1">
        <v>8</v>
      </c>
      <c r="G13" s="3"/>
    </row>
    <row r="14" spans="1:9" x14ac:dyDescent="0.35">
      <c r="A14" s="1" t="s">
        <v>4</v>
      </c>
      <c r="B14" s="1" t="s">
        <v>58</v>
      </c>
      <c r="C14" s="1" t="s">
        <v>59</v>
      </c>
      <c r="D14" s="1" t="s">
        <v>34</v>
      </c>
      <c r="E14" s="1">
        <v>2</v>
      </c>
      <c r="F14" s="1">
        <v>8</v>
      </c>
      <c r="G14" s="3"/>
    </row>
    <row r="15" spans="1:9" x14ac:dyDescent="0.35">
      <c r="A15" s="1" t="s">
        <v>35</v>
      </c>
      <c r="B15" s="1" t="s">
        <v>66</v>
      </c>
      <c r="C15" s="1" t="s">
        <v>65</v>
      </c>
      <c r="D15" s="1" t="s">
        <v>36</v>
      </c>
      <c r="E15" s="1">
        <v>3</v>
      </c>
      <c r="F15" s="1">
        <v>8</v>
      </c>
      <c r="G15" s="3"/>
    </row>
    <row r="16" spans="1:9" x14ac:dyDescent="0.35">
      <c r="A16" s="1" t="s">
        <v>3</v>
      </c>
      <c r="B16" s="1" t="s">
        <v>60</v>
      </c>
      <c r="C16" s="1" t="s">
        <v>61</v>
      </c>
      <c r="D16" s="1" t="s">
        <v>37</v>
      </c>
      <c r="E16" s="1">
        <v>4</v>
      </c>
      <c r="F16" s="1">
        <v>8</v>
      </c>
      <c r="G16" s="3"/>
    </row>
    <row r="17" spans="1:7" x14ac:dyDescent="0.35">
      <c r="A17" s="1" t="s">
        <v>38</v>
      </c>
      <c r="B17" s="1" t="s">
        <v>71</v>
      </c>
      <c r="C17" s="1" t="s">
        <v>72</v>
      </c>
      <c r="D17" s="1" t="s">
        <v>6</v>
      </c>
      <c r="E17" s="1">
        <v>1</v>
      </c>
      <c r="F17" s="1">
        <v>8</v>
      </c>
      <c r="G17" s="3"/>
    </row>
    <row r="18" spans="1:7" x14ac:dyDescent="0.35">
      <c r="A18" s="1" t="s">
        <v>5</v>
      </c>
      <c r="B18" s="1" t="s">
        <v>56</v>
      </c>
      <c r="C18" s="1" t="s">
        <v>57</v>
      </c>
      <c r="D18" s="1" t="s">
        <v>39</v>
      </c>
      <c r="E18" s="1">
        <v>8</v>
      </c>
      <c r="F18" s="1">
        <v>8</v>
      </c>
      <c r="G18" s="3"/>
    </row>
    <row r="19" spans="1:7" x14ac:dyDescent="0.35">
      <c r="A19" s="1" t="s">
        <v>40</v>
      </c>
      <c r="B19" s="1" t="s">
        <v>69</v>
      </c>
      <c r="C19" s="1" t="s">
        <v>70</v>
      </c>
      <c r="D19" s="1" t="s">
        <v>41</v>
      </c>
      <c r="E19" s="1">
        <v>2</v>
      </c>
      <c r="F19" s="1">
        <v>8</v>
      </c>
      <c r="G19" s="3"/>
    </row>
    <row r="20" spans="1:7" x14ac:dyDescent="0.35">
      <c r="A20" s="1" t="s">
        <v>42</v>
      </c>
      <c r="B20" s="1" t="s">
        <v>67</v>
      </c>
      <c r="C20" s="1" t="s">
        <v>68</v>
      </c>
      <c r="D20" s="1" t="s">
        <v>43</v>
      </c>
      <c r="E20" s="1">
        <v>1</v>
      </c>
      <c r="F20" s="1">
        <v>8</v>
      </c>
      <c r="G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2026-03-02T20:54:58Z</dcterms:modified>
</cp:coreProperties>
</file>